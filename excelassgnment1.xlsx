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Advance Excel\"/>
    </mc:Choice>
  </mc:AlternateContent>
  <xr:revisionPtr revIDLastSave="0" documentId="13_ncr:1_{23927BD7-5BA1-4C98-94A6-754228E5F1F2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Task-1" sheetId="1" r:id="rId1"/>
    <sheet name="Task-2" sheetId="2" r:id="rId2"/>
    <sheet name="Task-3" sheetId="3" r:id="rId3"/>
    <sheet name="SHEET6PIVOTTABLE" sheetId="6" r:id="rId4"/>
    <sheet name="Sheet1" sheetId="7" r:id="rId5"/>
    <sheet name="Task-5" sheetId="5" r:id="rId6"/>
    <sheet name="Task-4" sheetId="4" r:id="rId7"/>
  </sheets>
  <definedNames>
    <definedName name="_xlchart.v1.0" hidden="1">'Task-4'!$H$2:$H$3</definedName>
    <definedName name="_xlchart.v1.1" hidden="1">'Task-4'!$I$2:$I$3</definedName>
  </definedNames>
  <calcPr calcId="191029"/>
  <pivotCaches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4" l="1"/>
  <c r="F2" i="5"/>
  <c r="A11" i="5"/>
  <c r="F3" i="5"/>
  <c r="F4" i="5"/>
  <c r="F5" i="5"/>
  <c r="F6" i="5"/>
  <c r="F7" i="5"/>
  <c r="F8" i="5"/>
  <c r="F3" i="4"/>
  <c r="F4" i="4"/>
  <c r="F5" i="4"/>
  <c r="F6" i="4"/>
  <c r="F7" i="4"/>
  <c r="F8" i="4"/>
  <c r="F9" i="4"/>
  <c r="F10" i="4"/>
  <c r="F11" i="4"/>
  <c r="E3" i="4"/>
  <c r="E4" i="4"/>
  <c r="E5" i="4"/>
  <c r="E6" i="4"/>
  <c r="E7" i="4"/>
  <c r="E8" i="4"/>
  <c r="E9" i="4"/>
  <c r="E10" i="4"/>
  <c r="E11" i="4"/>
  <c r="E2" i="4"/>
  <c r="D3" i="4"/>
  <c r="D4" i="4"/>
  <c r="D5" i="4"/>
  <c r="D6" i="4"/>
  <c r="D7" i="4"/>
  <c r="D8" i="4"/>
  <c r="D9" i="4"/>
  <c r="D10" i="4"/>
  <c r="D11" i="4"/>
  <c r="D2" i="4"/>
  <c r="G3" i="3"/>
  <c r="G4" i="3"/>
  <c r="G5" i="3"/>
  <c r="G6" i="3"/>
  <c r="G7" i="3"/>
  <c r="G8" i="3"/>
  <c r="G9" i="3"/>
  <c r="G10" i="3"/>
  <c r="G2" i="3"/>
  <c r="B11" i="3"/>
  <c r="F3" i="3"/>
  <c r="F4" i="3"/>
  <c r="F5" i="3"/>
  <c r="F6" i="3"/>
  <c r="F7" i="3"/>
  <c r="F8" i="3"/>
  <c r="F9" i="3"/>
  <c r="F10" i="3"/>
  <c r="F2" i="3"/>
  <c r="E3" i="3"/>
  <c r="E4" i="3"/>
  <c r="E5" i="3"/>
  <c r="E6" i="3"/>
  <c r="E7" i="3"/>
  <c r="E8" i="3"/>
  <c r="E9" i="3"/>
  <c r="E10" i="3"/>
  <c r="E2" i="3"/>
  <c r="F2" i="2"/>
  <c r="F3" i="2"/>
  <c r="F4" i="2"/>
  <c r="F5" i="2"/>
  <c r="F6" i="2"/>
  <c r="F7" i="2"/>
  <c r="F8" i="2"/>
  <c r="F9" i="2"/>
  <c r="F10" i="2"/>
  <c r="F11" i="2"/>
  <c r="F3" i="1"/>
  <c r="F10" i="1"/>
  <c r="F6" i="1"/>
  <c r="F2" i="1"/>
  <c r="F9" i="1"/>
  <c r="F5" i="1"/>
  <c r="F7" i="1"/>
  <c r="F4" i="1"/>
  <c r="F8" i="1"/>
</calcChain>
</file>

<file path=xl/sharedStrings.xml><?xml version="1.0" encoding="utf-8"?>
<sst xmlns="http://schemas.openxmlformats.org/spreadsheetml/2006/main" count="150" uniqueCount="112">
  <si>
    <t xml:space="preserve">Student ID </t>
  </si>
  <si>
    <t xml:space="preserve"> Name         </t>
  </si>
  <si>
    <t xml:space="preserve"> Math Score </t>
  </si>
  <si>
    <t xml:space="preserve"> Science Score </t>
  </si>
  <si>
    <t xml:space="preserve"> English Score </t>
  </si>
  <si>
    <t xml:space="preserve"> John Doe       </t>
  </si>
  <si>
    <t xml:space="preserve"> Jane Smith     </t>
  </si>
  <si>
    <t xml:space="preserve"> David Brown    </t>
  </si>
  <si>
    <t xml:space="preserve"> Emily Johnson  </t>
  </si>
  <si>
    <t xml:space="preserve"> Michael Lee    </t>
  </si>
  <si>
    <t xml:space="preserve"> Sarah Wang     </t>
  </si>
  <si>
    <t xml:space="preserve"> Daniel Kim     </t>
  </si>
  <si>
    <t xml:space="preserve"> Jessica Liu    </t>
  </si>
  <si>
    <t xml:space="preserve"> Ethan Chen     </t>
  </si>
  <si>
    <t>1. Apply conditional formatting to highlight students with an average score above 85.</t>
  </si>
  <si>
    <t>2. Sort the student data based on their Math Score in descending order.</t>
  </si>
  <si>
    <t>3. Format the scores to one decimal place.</t>
  </si>
  <si>
    <t>Product ID</t>
  </si>
  <si>
    <t>Product Name</t>
  </si>
  <si>
    <t>Category</t>
  </si>
  <si>
    <t>Price</t>
  </si>
  <si>
    <t>Quantity</t>
  </si>
  <si>
    <t>Laptop</t>
  </si>
  <si>
    <t>Electronics</t>
  </si>
  <si>
    <t>T-shirt</t>
  </si>
  <si>
    <t>Clothing</t>
  </si>
  <si>
    <t>Smartphone</t>
  </si>
  <si>
    <t>Headphones</t>
  </si>
  <si>
    <t>Jeans</t>
  </si>
  <si>
    <t>Tablet</t>
  </si>
  <si>
    <t>Dress Shirt</t>
  </si>
  <si>
    <t>Camera</t>
  </si>
  <si>
    <t>Sneakers</t>
  </si>
  <si>
    <t>Smart Watch</t>
  </si>
  <si>
    <t>Task :</t>
  </si>
  <si>
    <t>1. Create a table to manage product inventory with columns for Product ID, Product Name, Category, Price, and Quantity.</t>
  </si>
  <si>
    <t>2. Calculate the total value of each product (Price * Quantity).</t>
  </si>
  <si>
    <t>3. Use data validation to create a drop-down list for selecting categories.</t>
  </si>
  <si>
    <t>4. Apply conditional formatting to highlight products with a price above $500.</t>
  </si>
  <si>
    <t>5. Insert a column chart to visualize the quantity of each product</t>
  </si>
  <si>
    <t>1. Calculate the total sales for each month using the SUM function.</t>
  </si>
  <si>
    <t>2. Calculate the average sales across all three products for each month using the AVERAGE function.</t>
  </si>
  <si>
    <t>3. Use COUNTIF function to count the number of months where Sales A exceeded 1000.</t>
  </si>
  <si>
    <t>4. Use MAX function to find the highest sales value among all products for each month.</t>
  </si>
  <si>
    <t>5. Create a line chart to visualize the trend of Sales A, Sales B, and Sales Cover the three months.</t>
  </si>
  <si>
    <t>Month</t>
  </si>
  <si>
    <t>Sales A</t>
  </si>
  <si>
    <t>Sales B</t>
  </si>
  <si>
    <t>Sales C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</si>
  <si>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</si>
  <si>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</si>
  <si>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</si>
  <si>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</si>
  <si>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</si>
  <si>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</si>
  <si>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</si>
  <si>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</si>
  <si>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</si>
  <si>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1. Calculate the profit for each product using a formula (Revenue - Cost).</t>
  </si>
  <si>
    <t>2. Calculate the total cost and total revenue using the SUM function.</t>
  </si>
  <si>
    <t>3. Use IF function to categorize each product as "Profitable" if Profit &gt; 0, otherwise "Not Profitable".</t>
  </si>
  <si>
    <t>4. Create a pie chart to represent the percentage distribution of Profitable and Not Profitable products.</t>
  </si>
  <si>
    <t>5. Format the financial statement with currency and percentage formats.</t>
  </si>
  <si>
    <t>Item</t>
  </si>
  <si>
    <t>Cost</t>
  </si>
  <si>
    <t>Revenue</t>
  </si>
  <si>
    <t>Profit</t>
  </si>
  <si>
    <t>Product D</t>
  </si>
  <si>
    <t>Product E</t>
  </si>
  <si>
    <t>Product F</t>
  </si>
  <si>
    <t>Product G</t>
  </si>
  <si>
    <t>Product H</t>
  </si>
  <si>
    <t>Product I</t>
  </si>
  <si>
    <t>Product J</t>
  </si>
  <si>
    <t>Product K</t>
  </si>
  <si>
    <t>Product L</t>
  </si>
  <si>
    <t>Product M</t>
  </si>
  <si>
    <t>1. Apply conditional formatting to highlight employees with a salary above $60000.</t>
  </si>
  <si>
    <t>2. Create a drop-down list for selecting departments using data validation.</t>
  </si>
  <si>
    <t>3. Use VLOOKUP function to retrieve the Department of Employee ID 2.</t>
  </si>
  <si>
    <t>4. Calculate the number of years each employee has been with the company using DATEDIF function.</t>
  </si>
  <si>
    <t>5. Create a PivotTable to summarize total salary by department.</t>
  </si>
  <si>
    <t>Employee ID</t>
  </si>
  <si>
    <t>Employee Name</t>
  </si>
  <si>
    <t>Department</t>
  </si>
  <si>
    <t>Salary</t>
  </si>
  <si>
    <t>Hire Date</t>
  </si>
  <si>
    <t>Emily|Johnson</t>
  </si>
  <si>
    <t>HR</t>
  </si>
  <si>
    <t>Michael|Lee</t>
  </si>
  <si>
    <t>Sales</t>
  </si>
  <si>
    <t>Sarah|Wang</t>
  </si>
  <si>
    <t>Finance</t>
  </si>
  <si>
    <t>Daniel|Kim</t>
  </si>
  <si>
    <t>Jessica|Liu</t>
  </si>
  <si>
    <t>Ethan|Chen</t>
  </si>
  <si>
    <t>Sophia|Brown</t>
  </si>
  <si>
    <t>Average</t>
  </si>
  <si>
    <t>Value_Product</t>
  </si>
  <si>
    <t>TotalSales</t>
  </si>
  <si>
    <t>HightestSales</t>
  </si>
  <si>
    <t>CR</t>
  </si>
  <si>
    <t>PROFITABLE/NOT PROFITABLE</t>
  </si>
  <si>
    <t>Count</t>
  </si>
  <si>
    <t>PROFITABLE</t>
  </si>
  <si>
    <t>NOT PROFITABLE</t>
  </si>
  <si>
    <t>Years</t>
  </si>
  <si>
    <t>Row Labels</t>
  </si>
  <si>
    <t>Grand Total</t>
  </si>
  <si>
    <t>Sum of Salary</t>
  </si>
  <si>
    <t>Sum</t>
  </si>
  <si>
    <t>Running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</si>
</sst>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₹&quot;\ #,##0.00"/>
  </numFmts>
  <fonts count="5" x14ac:knownFonts="1"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14" fontId="0" fillId="0" borderId="1" xfId="0" applyNumberFormat="1" applyBorder="1"/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8" xfId="0" applyBorder="1"/>
    <xf numFmtId="0" fontId="0" fillId="0" borderId="9" xfId="0" applyBorder="1"/>
    <xf numFmtId="0" fontId="0" fillId="0" borderId="7" xfId="0" applyBorder="1"/>
    <xf numFmtId="0" fontId="2" fillId="0" borderId="10" xfId="0" applyFont="1" applyBorder="1"/>
    <xf numFmtId="164" fontId="0" fillId="0" borderId="0" xfId="0" applyNumberFormat="1"/>
    <xf numFmtId="164" fontId="2" fillId="0" borderId="1" xfId="0" applyNumberFormat="1" applyFont="1" applyBorder="1"/>
    <xf numFmtId="164" fontId="0" fillId="0" borderId="1" xfId="0" applyNumberForma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5" xfId="0" applyBorder="1"/>
    <xf numFmtId="0" fontId="2" fillId="0" borderId="10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165" fontId="0" fillId="0" borderId="1" xfId="0" applyNumberFormat="1" applyBorder="1"/>
    <xf numFmtId="0" fontId="4" fillId="2" borderId="0" xfId="0" applyFont="1" applyFill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 wrapText="1"/>
    </xf>
    <xf numFmtId="0" fontId="0" fillId="0" borderId="0" xfId="0" applyNumberFormat="1"/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'Task-2'!$B$2:$B$11</c:f>
              <c:strCache>
                <c:ptCount val="10"/>
                <c:pt idx="0">
                  <c:v>Laptop</c:v>
                </c:pt>
                <c:pt idx="1">
                  <c:v>T-shirt</c:v>
                </c:pt>
                <c:pt idx="2">
                  <c:v>Smartphone</c:v>
                </c:pt>
                <c:pt idx="3">
                  <c:v>Headphones</c:v>
                </c:pt>
                <c:pt idx="4">
                  <c:v>Jeans</c:v>
                </c:pt>
                <c:pt idx="5">
                  <c:v>Tablet</c:v>
                </c:pt>
                <c:pt idx="6">
                  <c:v>Dress Shirt</c:v>
                </c:pt>
                <c:pt idx="7">
                  <c:v>Camera</c:v>
                </c:pt>
                <c:pt idx="8">
                  <c:v>Sneakers</c:v>
                </c:pt>
                <c:pt idx="9">
                  <c:v>Smart Watch</c:v>
                </c:pt>
              </c:strCache>
            </c:strRef>
          </c:cat>
          <c:val>
            <c:numRef>
              <c:f>'Task-2'!$E$2:$E$11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8</c:v>
                </c:pt>
                <c:pt idx="3">
                  <c:v>15</c:v>
                </c:pt>
                <c:pt idx="4">
                  <c:v>12</c:v>
                </c:pt>
                <c:pt idx="5">
                  <c:v>6</c:v>
                </c:pt>
                <c:pt idx="6">
                  <c:v>20</c:v>
                </c:pt>
                <c:pt idx="7">
                  <c:v>3</c:v>
                </c:pt>
                <c:pt idx="8">
                  <c:v>7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2A-41C4-A3B1-28408B9FD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2308879"/>
        <c:axId val="1443226671"/>
      </c:barChart>
      <c:catAx>
        <c:axId val="1672308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226671"/>
        <c:crosses val="autoZero"/>
        <c:auto val="1"/>
        <c:lblAlgn val="ctr"/>
        <c:lblOffset val="100"/>
        <c:noMultiLvlLbl val="0"/>
      </c:catAx>
      <c:valAx>
        <c:axId val="144322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308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'Task-3'!$A$2</c:f>
              <c:strCache>
                <c:ptCount val="1"/>
                <c:pt idx="0">
                  <c:v>April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'Task-3'!$B$2:$D$2</c:f>
              <c:numCache>
                <c:formatCode>General</c:formatCode>
                <c:ptCount val="3"/>
                <c:pt idx="0">
                  <c:v>1200</c:v>
                </c:pt>
                <c:pt idx="1">
                  <c:v>1100</c:v>
                </c:pt>
                <c:pt idx="2">
                  <c:v>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87-4886-BE77-7CE396275B40}"/>
            </c:ext>
          </c:extLst>
        </c:ser>
        <c:ser>
          <c:idx val="1"/>
          <c:order val="1"/>
          <c:tx>
            <c:strRef>
              <c:f>'Task-3'!$A$3</c:f>
              <c:strCache>
                <c:ptCount val="1"/>
                <c:pt idx="0">
                  <c:v>May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'Task-3'!$B$3:$D$3</c:f>
              <c:numCache>
                <c:formatCode>General</c:formatCode>
                <c:ptCount val="3"/>
                <c:pt idx="0">
                  <c:v>900</c:v>
                </c:pt>
                <c:pt idx="1">
                  <c:v>1000</c:v>
                </c:pt>
                <c:pt idx="2">
                  <c:v>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87-4886-BE77-7CE396275B40}"/>
            </c:ext>
          </c:extLst>
        </c:ser>
        <c:ser>
          <c:idx val="2"/>
          <c:order val="2"/>
          <c:tx>
            <c:strRef>
              <c:f>'Task-3'!$A$4</c:f>
              <c:strCache>
                <c:ptCount val="1"/>
                <c:pt idx="0">
                  <c:v>June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'Task-3'!$B$4:$D$4</c:f>
              <c:numCache>
                <c:formatCode>General</c:formatCode>
                <c:ptCount val="3"/>
                <c:pt idx="0">
                  <c:v>1300</c:v>
                </c:pt>
                <c:pt idx="1">
                  <c:v>950</c:v>
                </c:pt>
                <c:pt idx="2">
                  <c:v>1050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87-4886-BE77-7CE396275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4898015"/>
        <c:axId val="1443227151"/>
      </c:lineChart>
      <c:catAx>
        <c:axId val="16748980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227151"/>
        <c:crosses val="autoZero"/>
        <c:auto val="1"/>
        <c:lblAlgn val="ctr"/>
        <c:lblOffset val="100"/>
        <c:noMultiLvlLbl val="0"/>
      </c:catAx>
      <c:valAx>
        <c:axId val="144322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89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6C8-4787-AD56-E02DEF53C6BA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6C8-4787-AD56-E02DEF53C6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'Task-4'!$H$2:$H$3</c:f>
              <c:strCache>
                <c:ptCount val="2"/>
                <c:pt idx="0">
                  <c:v>PROFITABLE</c:v>
                </c:pt>
                <c:pt idx="1">
                  <c:v>NOT PROFITABLE</c:v>
                </c:pt>
              </c:strCache>
            </c:strRef>
          </c:cat>
          <c:val>
            <c:numRef>
              <c:f>'Task-4'!$I$2:$I$3</c:f>
              <c:numCache>
                <c:formatCode>General</c:formatCode>
                <c:ptCount val="2"/>
                <c:pt idx="0">
                  <c:v>4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38-497F-9306-8E68C03D8D0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11</xdr:row>
      <xdr:rowOff>99060</xdr:rowOff>
    </xdr:from>
    <xdr:to>
      <xdr:col>5</xdr:col>
      <xdr:colOff>198120</xdr:colOff>
      <xdr:row>19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0E67D7-AF66-E60E-EECA-9048AAFC7B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213360</xdr:colOff>
      <xdr:row>1</xdr:row>
      <xdr:rowOff>114300</xdr:rowOff>
    </xdr:from>
    <xdr:to>
      <xdr:col>17</xdr:col>
      <xdr:colOff>525780</xdr:colOff>
      <xdr:row>13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A2108E-337F-A8D7-D643-DF7CB2FB69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12</xdr:row>
      <xdr:rowOff>0</xdr:rowOff>
    </xdr:from>
    <xdr:to>
      <xdr:col>5</xdr:col>
      <xdr:colOff>647700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088C76-F930-F353-E0EE-5EB7C40BA0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09.723393171298" createdVersion="8" refreshedVersion="8" minRefreshableVersion="3" recordCount="7" xr:uid="{A4208174-95FC-4D91-95FB-14865C95B8C4}">
  <cacheSource type="worksheet">
    <worksheetSource ref="A1:E8" sheet="Task-5"/>
  </cacheSource>
  <cacheFields count="5">
    <cacheField name="Employee ID" numFmtId="0">
      <sharedItems containsSemiMixedTypes="0" containsString="0" containsNumber="1" containsInteger="1" minValue="1" maxValue="7"/>
    </cacheField>
    <cacheField name="Employee Name" numFmtId="0">
      <sharedItems/>
    </cacheField>
    <cacheField name="Department" numFmtId="0">
      <sharedItems count="3">
        <s v="HR"/>
        <s v="Sales"/>
        <s v="Finance"/>
      </sharedItems>
    </cacheField>
    <cacheField name="Salary" numFmtId="0">
      <sharedItems containsSemiMixedTypes="0" containsString="0" containsNumber="1" containsInteger="1" minValue="55000" maxValue="72000"/>
    </cacheField>
    <cacheField name="Hire Date" numFmtId="14">
      <sharedItems containsSemiMixedTypes="0" containsNonDate="0" containsDate="1" containsString="0" minDate="2016-09-10T00:00:00" maxDate="2020-01-04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"/>
    <s v="Emily|Johnson"/>
    <x v="0"/>
    <n v="55000"/>
    <d v="2017-11-20T00:00:00"/>
  </r>
  <r>
    <n v="2"/>
    <s v="Michael|Lee"/>
    <x v="1"/>
    <n v="65000"/>
    <d v="2019-08-05T00:00:00"/>
  </r>
  <r>
    <n v="3"/>
    <s v="Sarah|Wang"/>
    <x v="2"/>
    <n v="72000"/>
    <d v="2018-02-15T00:00:00"/>
  </r>
  <r>
    <n v="4"/>
    <s v="Daniel|Kim"/>
    <x v="1"/>
    <n v="63000"/>
    <d v="2020-01-03T00:00:00"/>
  </r>
  <r>
    <n v="5"/>
    <s v="Jessica|Liu"/>
    <x v="0"/>
    <n v="58000"/>
    <d v="2016-09-10T00:00:00"/>
  </r>
  <r>
    <n v="6"/>
    <s v="Ethan|Chen"/>
    <x v="2"/>
    <n v="68000"/>
    <d v="2017-06-25T00:00:00"/>
  </r>
  <r>
    <n v="7"/>
    <s v="Sophia|Brown"/>
    <x v="1"/>
    <n v="70000"/>
    <d v="2019-04-12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BD9EA9-2AFF-4756-B9FC-3F835155AFE9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5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numFmtId="1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ary" fld="3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C71423-2A00-4D9C-82E1-EF44F6E2E6E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5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numFmtId="1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ar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AD96E6-0F41-48CB-A5FE-8FDC03B45D8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11:C15" firstHeaderRow="1" firstDataRow="1" firstDataCol="1"/>
  <pivotFields count="5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numFmtId="1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ar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3BFC9E-93E6-4238-B549-F47F2B9A56F6}" name="Table2" displayName="Table2" ref="A1:F10" totalsRowShown="0" headerRowDxfId="19" tableBorderDxfId="18">
  <autoFilter ref="A1:F10" xr:uid="{C73BFC9E-93E6-4238-B549-F47F2B9A56F6}"/>
  <sortState xmlns:xlrd2="http://schemas.microsoft.com/office/spreadsheetml/2017/richdata2" ref="A2:F10">
    <sortCondition descending="1" ref="C2:C10"/>
  </sortState>
  <tableColumns count="6">
    <tableColumn id="1" xr3:uid="{9F47704C-4A89-49F3-889F-55576F5D846F}" name="Student ID " dataDxfId="17"/>
    <tableColumn id="2" xr3:uid="{4318A80C-39F4-4EE0-8831-989FC7AAE1D0}" name=" Name         " dataDxfId="16"/>
    <tableColumn id="3" xr3:uid="{33E289C4-70AE-49EB-8526-1ABCB36803E8}" name=" Math Score " dataDxfId="15"/>
    <tableColumn id="4" xr3:uid="{98D34DB7-9CC8-42C0-9AD7-6670F711E5E6}" name=" Science Score " dataDxfId="14"/>
    <tableColumn id="5" xr3:uid="{5E14FED3-F0C7-4C73-80F4-51A3120BB274}" name=" English Score " dataDxfId="13"/>
    <tableColumn id="6" xr3:uid="{87C0B0FE-41BB-4DFA-81AD-7607521B3735}" name="Average">
      <calculatedColumnFormula>AVERAGE(C2:E2)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B371C1-FD34-4F72-BEE2-9384A9B4D538}" name="Table3" displayName="Table3" ref="A1:F11" totalsRowShown="0" headerRowDxfId="12" headerRowBorderDxfId="11" tableBorderDxfId="10" totalsRowBorderDxfId="9">
  <autoFilter ref="A1:F11" xr:uid="{C5B371C1-FD34-4F72-BEE2-9384A9B4D538}"/>
  <tableColumns count="6">
    <tableColumn id="1" xr3:uid="{4D5ABBE7-A48A-4B3B-9A7E-3A17671BFBC6}" name="Product ID" dataDxfId="8"/>
    <tableColumn id="2" xr3:uid="{79E06052-0DD5-415F-AE07-E945EA817FF9}" name="Product Name" dataDxfId="7"/>
    <tableColumn id="3" xr3:uid="{F0C2AA5E-9960-4CF4-885E-01D37631DFCB}" name="Category" dataDxfId="6"/>
    <tableColumn id="4" xr3:uid="{5A6F63B5-6CB1-404F-B527-A7C226E635B7}" name="Price" dataDxfId="5"/>
    <tableColumn id="5" xr3:uid="{87BCCEBA-DE5E-443D-973D-7707198D65CA}" name="Quantity" dataDxfId="4"/>
    <tableColumn id="6" xr3:uid="{61E32330-6163-460A-8276-D858EB093A34}" name="Value_Product" dataDxfId="3">
      <calculatedColumnFormula>Table3[[#This Row],[Price]]*Table3[[#This Row],[Quantity]]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workbookViewId="0">
      <selection activeCell="C20" sqref="C20"/>
    </sheetView>
  </sheetViews>
  <sheetFormatPr defaultRowHeight="14.4" x14ac:dyDescent="0.3"/>
  <cols>
    <col min="1" max="1" width="12.21875" customWidth="1"/>
    <col min="2" max="2" width="14.109375" bestFit="1" customWidth="1"/>
    <col min="3" max="3" width="13.44140625" customWidth="1"/>
    <col min="4" max="4" width="15.21875" customWidth="1"/>
    <col min="5" max="5" width="14.77734375" customWidth="1"/>
    <col min="6" max="6" width="9.77734375" customWidth="1"/>
  </cols>
  <sheetData>
    <row r="1" spans="1:9" x14ac:dyDescent="0.3">
      <c r="A1" s="8" t="s">
        <v>0</v>
      </c>
      <c r="B1" s="5" t="s">
        <v>1</v>
      </c>
      <c r="C1" s="17" t="s">
        <v>2</v>
      </c>
      <c r="D1" s="17" t="s">
        <v>3</v>
      </c>
      <c r="E1" s="17" t="s">
        <v>4</v>
      </c>
      <c r="F1" s="15" t="s">
        <v>97</v>
      </c>
    </row>
    <row r="2" spans="1:9" x14ac:dyDescent="0.3">
      <c r="A2" s="9">
        <v>5</v>
      </c>
      <c r="B2" s="1" t="s">
        <v>9</v>
      </c>
      <c r="C2" s="18">
        <v>95</v>
      </c>
      <c r="D2" s="18">
        <v>91</v>
      </c>
      <c r="E2" s="18">
        <v>87</v>
      </c>
      <c r="F2">
        <f t="shared" ref="F2:F10" si="0">AVERAGE(C2:E2)</f>
        <v>91</v>
      </c>
    </row>
    <row r="3" spans="1:9" x14ac:dyDescent="0.3">
      <c r="A3" s="9">
        <v>2</v>
      </c>
      <c r="B3" s="1" t="s">
        <v>6</v>
      </c>
      <c r="C3" s="18">
        <v>92</v>
      </c>
      <c r="D3" s="18">
        <v>88</v>
      </c>
      <c r="E3" s="18">
        <v>90</v>
      </c>
      <c r="F3">
        <f t="shared" si="0"/>
        <v>90</v>
      </c>
    </row>
    <row r="4" spans="1:9" x14ac:dyDescent="0.3">
      <c r="A4" s="9">
        <v>9</v>
      </c>
      <c r="B4" s="1" t="s">
        <v>13</v>
      </c>
      <c r="C4" s="18">
        <v>91</v>
      </c>
      <c r="D4" s="18">
        <v>87</v>
      </c>
      <c r="E4" s="18">
        <v>91</v>
      </c>
      <c r="F4">
        <f t="shared" si="0"/>
        <v>89.666666666666671</v>
      </c>
    </row>
    <row r="5" spans="1:9" x14ac:dyDescent="0.3">
      <c r="A5" s="9">
        <v>7</v>
      </c>
      <c r="B5" s="1" t="s">
        <v>11</v>
      </c>
      <c r="C5" s="18">
        <v>90</v>
      </c>
      <c r="D5" s="18">
        <v>86</v>
      </c>
      <c r="E5" s="18">
        <v>88</v>
      </c>
      <c r="F5">
        <f t="shared" si="0"/>
        <v>88</v>
      </c>
    </row>
    <row r="6" spans="1:9" x14ac:dyDescent="0.3">
      <c r="A6" s="9">
        <v>4</v>
      </c>
      <c r="B6" s="1" t="s">
        <v>8</v>
      </c>
      <c r="C6" s="18">
        <v>88</v>
      </c>
      <c r="D6" s="18">
        <v>85</v>
      </c>
      <c r="E6" s="18">
        <v>92</v>
      </c>
      <c r="F6">
        <f t="shared" si="0"/>
        <v>88.333333333333329</v>
      </c>
    </row>
    <row r="7" spans="1:9" x14ac:dyDescent="0.3">
      <c r="A7" s="10">
        <v>8</v>
      </c>
      <c r="B7" s="1" t="s">
        <v>12</v>
      </c>
      <c r="C7" s="18">
        <v>87</v>
      </c>
      <c r="D7" s="18">
        <v>83</v>
      </c>
      <c r="E7" s="18">
        <v>89</v>
      </c>
      <c r="F7">
        <f t="shared" si="0"/>
        <v>86.333333333333329</v>
      </c>
    </row>
    <row r="8" spans="1:9" x14ac:dyDescent="0.3">
      <c r="A8" s="9">
        <v>1</v>
      </c>
      <c r="B8" s="1" t="s">
        <v>5</v>
      </c>
      <c r="C8" s="18">
        <v>85</v>
      </c>
      <c r="D8" s="18">
        <v>90</v>
      </c>
      <c r="E8" s="18">
        <v>88</v>
      </c>
      <c r="F8">
        <f t="shared" si="0"/>
        <v>87.666666666666671</v>
      </c>
    </row>
    <row r="9" spans="1:9" x14ac:dyDescent="0.3">
      <c r="A9" s="9">
        <v>6</v>
      </c>
      <c r="B9" s="1" t="s">
        <v>10</v>
      </c>
      <c r="C9" s="18">
        <v>82</v>
      </c>
      <c r="D9" s="18">
        <v>89</v>
      </c>
      <c r="E9" s="18">
        <v>84</v>
      </c>
      <c r="F9">
        <f t="shared" si="0"/>
        <v>85</v>
      </c>
      <c r="I9" s="16"/>
    </row>
    <row r="10" spans="1:9" x14ac:dyDescent="0.3">
      <c r="A10" s="9">
        <v>3</v>
      </c>
      <c r="B10" s="1" t="s">
        <v>7</v>
      </c>
      <c r="C10" s="18">
        <v>78</v>
      </c>
      <c r="D10" s="18">
        <v>82</v>
      </c>
      <c r="E10" s="18">
        <v>85</v>
      </c>
      <c r="F10">
        <f t="shared" si="0"/>
        <v>81.666666666666671</v>
      </c>
    </row>
    <row r="13" spans="1:9" ht="27.45" customHeight="1" x14ac:dyDescent="0.3">
      <c r="B13" s="31" t="s">
        <v>14</v>
      </c>
      <c r="C13" s="31"/>
      <c r="D13" s="31"/>
      <c r="E13" s="31"/>
    </row>
    <row r="14" spans="1:9" ht="28.05" customHeight="1" x14ac:dyDescent="0.3">
      <c r="B14" s="31" t="s">
        <v>15</v>
      </c>
      <c r="C14" s="31"/>
      <c r="D14" s="31"/>
      <c r="E14" s="31"/>
    </row>
    <row r="15" spans="1:9" ht="19.95" customHeight="1" x14ac:dyDescent="0.3">
      <c r="B15" s="31" t="s">
        <v>16</v>
      </c>
      <c r="C15" s="31"/>
      <c r="D15" s="31"/>
      <c r="E15" s="31"/>
    </row>
  </sheetData>
  <mergeCells count="3">
    <mergeCell ref="B13:E13"/>
    <mergeCell ref="B14:E14"/>
    <mergeCell ref="B15:E15"/>
  </mergeCells>
  <conditionalFormatting sqref="F2:F10">
    <cfRule type="cellIs" dxfId="2" priority="1" operator="greaterThan">
      <formula>85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workbookViewId="0">
      <selection activeCell="C2" sqref="C2"/>
    </sheetView>
  </sheetViews>
  <sheetFormatPr defaultRowHeight="14.4" x14ac:dyDescent="0.3"/>
  <cols>
    <col min="1" max="1" width="11.77734375" customWidth="1"/>
    <col min="2" max="2" width="15" customWidth="1"/>
    <col min="3" max="3" width="10.44140625" customWidth="1"/>
    <col min="5" max="5" width="10.21875" customWidth="1"/>
    <col min="6" max="6" width="17.6640625" customWidth="1"/>
    <col min="8" max="8" width="48.21875" customWidth="1"/>
  </cols>
  <sheetData>
    <row r="1" spans="1:8" x14ac:dyDescent="0.3">
      <c r="A1" s="19" t="s">
        <v>17</v>
      </c>
      <c r="B1" s="20" t="s">
        <v>18</v>
      </c>
      <c r="C1" s="20" t="s">
        <v>19</v>
      </c>
      <c r="D1" s="20" t="s">
        <v>20</v>
      </c>
      <c r="E1" s="21" t="s">
        <v>21</v>
      </c>
      <c r="F1" s="20" t="s">
        <v>98</v>
      </c>
    </row>
    <row r="2" spans="1:8" x14ac:dyDescent="0.3">
      <c r="A2" s="10">
        <v>1</v>
      </c>
      <c r="B2" s="1" t="s">
        <v>22</v>
      </c>
      <c r="C2" s="1" t="s">
        <v>23</v>
      </c>
      <c r="D2" s="1">
        <v>1000</v>
      </c>
      <c r="E2" s="11">
        <v>5</v>
      </c>
      <c r="F2" s="22">
        <f>Table3[[#This Row],[Price]]*Table3[[#This Row],[Quantity]]</f>
        <v>5000</v>
      </c>
    </row>
    <row r="3" spans="1:8" x14ac:dyDescent="0.3">
      <c r="A3" s="10">
        <v>2</v>
      </c>
      <c r="B3" s="1" t="s">
        <v>24</v>
      </c>
      <c r="C3" s="1" t="s">
        <v>25</v>
      </c>
      <c r="D3" s="1">
        <v>20</v>
      </c>
      <c r="E3" s="11">
        <v>10</v>
      </c>
      <c r="F3" s="1">
        <f>Table3[[#This Row],[Price]]*Table3[[#This Row],[Quantity]]</f>
        <v>200</v>
      </c>
    </row>
    <row r="4" spans="1:8" x14ac:dyDescent="0.3">
      <c r="A4" s="10">
        <v>3</v>
      </c>
      <c r="B4" s="1" t="s">
        <v>26</v>
      </c>
      <c r="C4" s="1" t="s">
        <v>23</v>
      </c>
      <c r="D4" s="1">
        <v>500</v>
      </c>
      <c r="E4" s="11">
        <v>8</v>
      </c>
      <c r="F4" s="1">
        <f>Table3[[#This Row],[Price]]*Table3[[#This Row],[Quantity]]</f>
        <v>4000</v>
      </c>
    </row>
    <row r="5" spans="1:8" x14ac:dyDescent="0.3">
      <c r="A5" s="10">
        <v>4</v>
      </c>
      <c r="B5" s="1" t="s">
        <v>27</v>
      </c>
      <c r="C5" s="1" t="s">
        <v>23</v>
      </c>
      <c r="D5" s="1">
        <v>200</v>
      </c>
      <c r="E5" s="11">
        <v>15</v>
      </c>
      <c r="F5" s="1">
        <f>Table3[[#This Row],[Price]]*Table3[[#This Row],[Quantity]]</f>
        <v>3000</v>
      </c>
    </row>
    <row r="6" spans="1:8" x14ac:dyDescent="0.3">
      <c r="A6" s="10">
        <v>5</v>
      </c>
      <c r="B6" s="1" t="s">
        <v>28</v>
      </c>
      <c r="C6" s="1" t="s">
        <v>25</v>
      </c>
      <c r="D6" s="1">
        <v>50</v>
      </c>
      <c r="E6" s="11">
        <v>12</v>
      </c>
      <c r="F6" s="1">
        <f>Table3[[#This Row],[Price]]*Table3[[#This Row],[Quantity]]</f>
        <v>600</v>
      </c>
    </row>
    <row r="7" spans="1:8" x14ac:dyDescent="0.3">
      <c r="A7" s="10">
        <v>6</v>
      </c>
      <c r="B7" s="1" t="s">
        <v>29</v>
      </c>
      <c r="C7" s="1" t="s">
        <v>23</v>
      </c>
      <c r="D7" s="1">
        <v>700</v>
      </c>
      <c r="E7" s="11">
        <v>6</v>
      </c>
      <c r="F7" s="1">
        <f>Table3[[#This Row],[Price]]*Table3[[#This Row],[Quantity]]</f>
        <v>4200</v>
      </c>
    </row>
    <row r="8" spans="1:8" x14ac:dyDescent="0.3">
      <c r="A8" s="10">
        <v>7</v>
      </c>
      <c r="B8" s="1" t="s">
        <v>30</v>
      </c>
      <c r="C8" s="1" t="s">
        <v>25</v>
      </c>
      <c r="D8" s="1">
        <v>30</v>
      </c>
      <c r="E8" s="11">
        <v>20</v>
      </c>
      <c r="F8" s="1">
        <f>Table3[[#This Row],[Price]]*Table3[[#This Row],[Quantity]]</f>
        <v>600</v>
      </c>
    </row>
    <row r="9" spans="1:8" x14ac:dyDescent="0.3">
      <c r="A9" s="10">
        <v>8</v>
      </c>
      <c r="B9" s="1" t="s">
        <v>31</v>
      </c>
      <c r="C9" s="1" t="s">
        <v>23</v>
      </c>
      <c r="D9" s="1">
        <v>1200</v>
      </c>
      <c r="E9" s="11">
        <v>3</v>
      </c>
      <c r="F9" s="1">
        <f>Table3[[#This Row],[Price]]*Table3[[#This Row],[Quantity]]</f>
        <v>3600</v>
      </c>
    </row>
    <row r="10" spans="1:8" x14ac:dyDescent="0.3">
      <c r="A10" s="10">
        <v>9</v>
      </c>
      <c r="B10" s="1" t="s">
        <v>32</v>
      </c>
      <c r="C10" s="1" t="s">
        <v>25</v>
      </c>
      <c r="D10" s="1">
        <v>80</v>
      </c>
      <c r="E10" s="11">
        <v>7</v>
      </c>
      <c r="F10" s="1">
        <f>Table3[[#This Row],[Price]]*Table3[[#This Row],[Quantity]]</f>
        <v>560</v>
      </c>
    </row>
    <row r="11" spans="1:8" x14ac:dyDescent="0.3">
      <c r="A11" s="14">
        <v>10</v>
      </c>
      <c r="B11" s="12" t="s">
        <v>33</v>
      </c>
      <c r="C11" s="12" t="s">
        <v>23</v>
      </c>
      <c r="D11" s="12">
        <v>300</v>
      </c>
      <c r="E11" s="13">
        <v>10</v>
      </c>
      <c r="F11" s="12">
        <f>Table3[[#This Row],[Price]]*Table3[[#This Row],[Quantity]]</f>
        <v>3000</v>
      </c>
    </row>
    <row r="12" spans="1:8" x14ac:dyDescent="0.3">
      <c r="H12" s="2" t="s">
        <v>34</v>
      </c>
    </row>
    <row r="13" spans="1:8" x14ac:dyDescent="0.3">
      <c r="H13" s="3"/>
    </row>
    <row r="14" spans="1:8" ht="24" x14ac:dyDescent="0.3">
      <c r="H14" s="4" t="s">
        <v>35</v>
      </c>
    </row>
    <row r="15" spans="1:8" x14ac:dyDescent="0.3">
      <c r="H15" s="4" t="s">
        <v>36</v>
      </c>
    </row>
    <row r="16" spans="1:8" ht="24" x14ac:dyDescent="0.3">
      <c r="H16" s="4" t="s">
        <v>37</v>
      </c>
    </row>
    <row r="17" spans="8:8" ht="24" x14ac:dyDescent="0.3">
      <c r="H17" s="4" t="s">
        <v>38</v>
      </c>
    </row>
    <row r="18" spans="8:8" x14ac:dyDescent="0.3">
      <c r="H18" s="4" t="s">
        <v>39</v>
      </c>
    </row>
  </sheetData>
  <conditionalFormatting sqref="D2:D11">
    <cfRule type="cellIs" dxfId="1" priority="1" operator="greaterThan">
      <formula>500</formula>
    </cfRule>
  </conditionalFormatting>
  <dataValidations count="1">
    <dataValidation type="list" allowBlank="1" showInputMessage="1" showErrorMessage="1" sqref="C2:C11" xr:uid="{B80334A2-E0B0-42CB-B878-AE56AD435B46}">
      <formula1>"Electronics,Clothing"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workbookViewId="0">
      <selection activeCell="D24" sqref="D24"/>
    </sheetView>
  </sheetViews>
  <sheetFormatPr defaultRowHeight="14.4" x14ac:dyDescent="0.3"/>
  <cols>
    <col min="1" max="1" width="9.88671875" bestFit="1" customWidth="1"/>
    <col min="2" max="2" width="6.6640625" bestFit="1" customWidth="1"/>
    <col min="3" max="4" width="6.5546875" bestFit="1" customWidth="1"/>
    <col min="5" max="5" width="10.109375" customWidth="1"/>
    <col min="7" max="7" width="11.6640625" customWidth="1"/>
  </cols>
  <sheetData>
    <row r="1" spans="1:7" x14ac:dyDescent="0.3">
      <c r="A1" s="6" t="s">
        <v>45</v>
      </c>
      <c r="B1" s="6" t="s">
        <v>46</v>
      </c>
      <c r="C1" s="6" t="s">
        <v>47</v>
      </c>
      <c r="D1" s="6" t="s">
        <v>48</v>
      </c>
      <c r="E1" s="23" t="s">
        <v>99</v>
      </c>
      <c r="F1" s="23" t="s">
        <v>97</v>
      </c>
      <c r="G1" s="23" t="s">
        <v>100</v>
      </c>
    </row>
    <row r="2" spans="1:7" x14ac:dyDescent="0.3">
      <c r="A2" s="1" t="s">
        <v>49</v>
      </c>
      <c r="B2" s="1">
        <v>1200</v>
      </c>
      <c r="C2" s="1">
        <v>1100</v>
      </c>
      <c r="D2" s="1">
        <v>900</v>
      </c>
      <c r="E2">
        <f>SUM(B2:D2)</f>
        <v>3200</v>
      </c>
      <c r="F2">
        <f>AVERAGE(B2:D2)</f>
        <v>1066.6666666666667</v>
      </c>
      <c r="G2">
        <f>MAX(B2:D2)</f>
        <v>1200</v>
      </c>
    </row>
    <row r="3" spans="1:7" x14ac:dyDescent="0.3">
      <c r="A3" s="1" t="s">
        <v>50</v>
      </c>
      <c r="B3" s="1">
        <v>900</v>
      </c>
      <c r="C3" s="1">
        <v>1000</v>
      </c>
      <c r="D3" s="1">
        <v>800</v>
      </c>
      <c r="E3">
        <f t="shared" ref="E3:E10" si="0">SUM(B3:D3)</f>
        <v>2700</v>
      </c>
      <c r="F3">
        <f t="shared" ref="F3:F10" si="1">AVERAGE(B3:D3)</f>
        <v>900</v>
      </c>
      <c r="G3">
        <f t="shared" ref="G3:G10" si="2">MAX(B3:D3)</f>
        <v>1000</v>
      </c>
    </row>
    <row r="4" spans="1:7" x14ac:dyDescent="0.3">
      <c r="A4" s="1" t="s">
        <v>51</v>
      </c>
      <c r="B4" s="1">
        <v>1300</v>
      </c>
      <c r="C4" s="1">
        <v>950</v>
      </c>
      <c r="D4" s="1">
        <v>1050</v>
      </c>
      <c r="E4">
        <f t="shared" si="0"/>
        <v>3300</v>
      </c>
      <c r="F4">
        <f t="shared" si="1"/>
        <v>1100</v>
      </c>
      <c r="G4">
        <f t="shared" si="2"/>
        <v>1300</v>
      </c>
    </row>
    <row r="5" spans="1:7" x14ac:dyDescent="0.3">
      <c r="A5" s="1" t="s">
        <v>52</v>
      </c>
      <c r="B5" s="1">
        <v>1100</v>
      </c>
      <c r="C5" s="1">
        <v>1200</v>
      </c>
      <c r="D5" s="1">
        <v>850</v>
      </c>
      <c r="E5">
        <f t="shared" si="0"/>
        <v>3150</v>
      </c>
      <c r="F5">
        <f t="shared" si="1"/>
        <v>1050</v>
      </c>
      <c r="G5">
        <f t="shared" si="2"/>
        <v>1200</v>
      </c>
    </row>
    <row r="6" spans="1:7" x14ac:dyDescent="0.3">
      <c r="A6" s="1" t="s">
        <v>53</v>
      </c>
      <c r="B6" s="1">
        <v>950</v>
      </c>
      <c r="C6" s="1">
        <v>800</v>
      </c>
      <c r="D6" s="1">
        <v>950</v>
      </c>
      <c r="E6">
        <f t="shared" si="0"/>
        <v>2700</v>
      </c>
      <c r="F6">
        <f t="shared" si="1"/>
        <v>900</v>
      </c>
      <c r="G6">
        <f t="shared" si="2"/>
        <v>950</v>
      </c>
    </row>
    <row r="7" spans="1:7" x14ac:dyDescent="0.3">
      <c r="A7" s="1" t="s">
        <v>54</v>
      </c>
      <c r="B7" s="1">
        <v>1150</v>
      </c>
      <c r="C7" s="1">
        <v>1050</v>
      </c>
      <c r="D7" s="1">
        <v>1000</v>
      </c>
      <c r="E7">
        <f t="shared" si="0"/>
        <v>3200</v>
      </c>
      <c r="F7">
        <f t="shared" si="1"/>
        <v>1066.6666666666667</v>
      </c>
      <c r="G7">
        <f t="shared" si="2"/>
        <v>1150</v>
      </c>
    </row>
    <row r="8" spans="1:7" x14ac:dyDescent="0.3">
      <c r="A8" s="1" t="s">
        <v>55</v>
      </c>
      <c r="B8" s="1">
        <v>1050</v>
      </c>
      <c r="C8" s="1">
        <v>900</v>
      </c>
      <c r="D8" s="1">
        <v>1100</v>
      </c>
      <c r="E8">
        <f t="shared" si="0"/>
        <v>3050</v>
      </c>
      <c r="F8">
        <f t="shared" si="1"/>
        <v>1016.6666666666666</v>
      </c>
      <c r="G8">
        <f t="shared" si="2"/>
        <v>1100</v>
      </c>
    </row>
    <row r="9" spans="1:7" x14ac:dyDescent="0.3">
      <c r="A9" s="1" t="s">
        <v>56</v>
      </c>
      <c r="B9" s="1">
        <v>1000</v>
      </c>
      <c r="C9" s="1">
        <v>1150</v>
      </c>
      <c r="D9" s="1">
        <v>950</v>
      </c>
      <c r="E9">
        <f t="shared" si="0"/>
        <v>3100</v>
      </c>
      <c r="F9">
        <f t="shared" si="1"/>
        <v>1033.3333333333333</v>
      </c>
      <c r="G9">
        <f t="shared" si="2"/>
        <v>1150</v>
      </c>
    </row>
    <row r="10" spans="1:7" x14ac:dyDescent="0.3">
      <c r="A10" s="1" t="s">
        <v>57</v>
      </c>
      <c r="B10" s="1">
        <v>1250</v>
      </c>
      <c r="C10" s="1">
        <v>1000</v>
      </c>
      <c r="D10" s="1">
        <v>1200</v>
      </c>
      <c r="E10">
        <f t="shared" si="0"/>
        <v>3450</v>
      </c>
      <c r="F10">
        <f t="shared" si="1"/>
        <v>1150</v>
      </c>
      <c r="G10">
        <f t="shared" si="2"/>
        <v>1250</v>
      </c>
    </row>
    <row r="11" spans="1:7" x14ac:dyDescent="0.3">
      <c r="B11">
        <f>COUNTIF(B2:B10,"&gt;1000")</f>
        <v>6</v>
      </c>
    </row>
    <row r="15" spans="1:7" x14ac:dyDescent="0.3">
      <c r="G15" t="s">
        <v>34</v>
      </c>
    </row>
    <row r="17" spans="7:7" x14ac:dyDescent="0.3">
      <c r="G17" t="s">
        <v>40</v>
      </c>
    </row>
    <row r="18" spans="7:7" x14ac:dyDescent="0.3">
      <c r="G18" t="s">
        <v>41</v>
      </c>
    </row>
    <row r="19" spans="7:7" x14ac:dyDescent="0.3">
      <c r="G19" t="s">
        <v>42</v>
      </c>
    </row>
    <row r="20" spans="7:7" x14ac:dyDescent="0.3">
      <c r="G20" t="s">
        <v>43</v>
      </c>
    </row>
    <row r="21" spans="7:7" x14ac:dyDescent="0.3">
      <c r="G21" t="s">
        <v>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7ADBF-2F4A-49C3-98A7-840FAB817556}">
  <dimension ref="A3:B7"/>
  <sheetViews>
    <sheetView workbookViewId="0">
      <selection activeCell="F17" sqref="F17"/>
    </sheetView>
  </sheetViews>
  <sheetFormatPr defaultRowHeight="14.4" x14ac:dyDescent="0.3"/>
  <cols>
    <col min="1" max="2" width="12.5546875" bestFit="1" customWidth="1"/>
  </cols>
  <sheetData>
    <row r="3" spans="1:2" x14ac:dyDescent="0.3">
      <c r="A3" s="29" t="s">
        <v>107</v>
      </c>
      <c r="B3" t="s">
        <v>109</v>
      </c>
    </row>
    <row r="4" spans="1:2" x14ac:dyDescent="0.3">
      <c r="A4" s="30" t="s">
        <v>90</v>
      </c>
      <c r="B4">
        <v>198000</v>
      </c>
    </row>
    <row r="5" spans="1:2" x14ac:dyDescent="0.3">
      <c r="A5" s="30" t="s">
        <v>88</v>
      </c>
      <c r="B5">
        <v>113000</v>
      </c>
    </row>
    <row r="6" spans="1:2" x14ac:dyDescent="0.3">
      <c r="A6" s="30" t="s">
        <v>92</v>
      </c>
      <c r="B6">
        <v>140000</v>
      </c>
    </row>
    <row r="7" spans="1:2" x14ac:dyDescent="0.3">
      <c r="A7" s="30" t="s">
        <v>108</v>
      </c>
      <c r="B7">
        <v>451000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26662-A017-4778-BF55-BB5C3E37FC9B}">
  <dimension ref="A3:B7"/>
  <sheetViews>
    <sheetView workbookViewId="0">
      <selection activeCell="A3" sqref="A3:B7"/>
    </sheetView>
  </sheetViews>
  <sheetFormatPr defaultRowHeight="14.4" x14ac:dyDescent="0.3"/>
  <cols>
    <col min="1" max="2" width="12.5546875" bestFit="1" customWidth="1"/>
  </cols>
  <sheetData>
    <row r="3" spans="1:2" x14ac:dyDescent="0.3">
      <c r="A3" s="29" t="s">
        <v>107</v>
      </c>
      <c r="B3" t="s">
        <v>109</v>
      </c>
    </row>
    <row r="4" spans="1:2" x14ac:dyDescent="0.3">
      <c r="A4" s="30" t="s">
        <v>90</v>
      </c>
      <c r="B4" s="32">
        <v>198000</v>
      </c>
    </row>
    <row r="5" spans="1:2" x14ac:dyDescent="0.3">
      <c r="A5" s="30" t="s">
        <v>88</v>
      </c>
      <c r="B5" s="32">
        <v>113000</v>
      </c>
    </row>
    <row r="6" spans="1:2" x14ac:dyDescent="0.3">
      <c r="A6" s="30" t="s">
        <v>92</v>
      </c>
      <c r="B6" s="32">
        <v>140000</v>
      </c>
    </row>
    <row r="7" spans="1:2" x14ac:dyDescent="0.3">
      <c r="A7" s="30" t="s">
        <v>108</v>
      </c>
      <c r="B7" s="32">
        <v>451000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D7D5C-9620-4905-8C3B-7F290BF6B079}">
  <dimension ref="A1:I17"/>
  <sheetViews>
    <sheetView workbookViewId="0">
      <selection activeCell="H23" sqref="H23"/>
    </sheetView>
  </sheetViews>
  <sheetFormatPr defaultRowHeight="14.4" x14ac:dyDescent="0.3"/>
  <cols>
    <col min="1" max="1" width="11.21875" bestFit="1" customWidth="1"/>
    <col min="2" max="2" width="14.44140625" bestFit="1" customWidth="1"/>
    <col min="3" max="3" width="12.5546875" customWidth="1"/>
    <col min="4" max="4" width="5.77734375" bestFit="1" customWidth="1"/>
    <col min="5" max="5" width="10.109375" bestFit="1" customWidth="1"/>
  </cols>
  <sheetData>
    <row r="1" spans="1:9" x14ac:dyDescent="0.3">
      <c r="A1" s="5" t="s">
        <v>82</v>
      </c>
      <c r="B1" s="5" t="s">
        <v>83</v>
      </c>
      <c r="C1" s="5" t="s">
        <v>84</v>
      </c>
      <c r="D1" s="5" t="s">
        <v>85</v>
      </c>
      <c r="E1" s="5" t="s">
        <v>86</v>
      </c>
      <c r="F1" s="15" t="s">
        <v>106</v>
      </c>
    </row>
    <row r="2" spans="1:9" x14ac:dyDescent="0.3">
      <c r="A2" s="1">
        <v>1</v>
      </c>
      <c r="B2" s="1" t="s">
        <v>87</v>
      </c>
      <c r="C2" s="1" t="s">
        <v>88</v>
      </c>
      <c r="D2" s="1">
        <v>55000</v>
      </c>
      <c r="E2" s="7">
        <v>43059</v>
      </c>
      <c r="F2">
        <f ca="1">DATEDIF(E2,TODAY(),"Y")</f>
        <v>8</v>
      </c>
      <c r="G2" s="27"/>
    </row>
    <row r="3" spans="1:9" x14ac:dyDescent="0.3">
      <c r="A3" s="1">
        <v>2</v>
      </c>
      <c r="B3" s="1" t="s">
        <v>89</v>
      </c>
      <c r="C3" s="1" t="s">
        <v>90</v>
      </c>
      <c r="D3" s="1">
        <v>65000</v>
      </c>
      <c r="E3" s="7">
        <v>43682</v>
      </c>
      <c r="F3">
        <f t="shared" ref="F3:F8" ca="1" si="0">DATEDIF(E3,TODAY(),"Y")</f>
        <v>6</v>
      </c>
    </row>
    <row r="4" spans="1:9" x14ac:dyDescent="0.3">
      <c r="A4" s="1">
        <v>3</v>
      </c>
      <c r="B4" s="1" t="s">
        <v>91</v>
      </c>
      <c r="C4" s="1" t="s">
        <v>92</v>
      </c>
      <c r="D4" s="1">
        <v>72000</v>
      </c>
      <c r="E4" s="7">
        <v>43146</v>
      </c>
      <c r="F4">
        <f t="shared" ca="1" si="0"/>
        <v>8</v>
      </c>
    </row>
    <row r="5" spans="1:9" x14ac:dyDescent="0.3">
      <c r="A5" s="1">
        <v>4</v>
      </c>
      <c r="B5" s="1" t="s">
        <v>93</v>
      </c>
      <c r="C5" s="1" t="s">
        <v>90</v>
      </c>
      <c r="D5" s="1">
        <v>63000</v>
      </c>
      <c r="E5" s="7">
        <v>43833</v>
      </c>
      <c r="F5">
        <f t="shared" ca="1" si="0"/>
        <v>6</v>
      </c>
    </row>
    <row r="6" spans="1:9" x14ac:dyDescent="0.3">
      <c r="A6" s="1">
        <v>5</v>
      </c>
      <c r="B6" s="1" t="s">
        <v>94</v>
      </c>
      <c r="C6" s="1" t="s">
        <v>88</v>
      </c>
      <c r="D6" s="1">
        <v>58000</v>
      </c>
      <c r="E6" s="7">
        <v>42623</v>
      </c>
      <c r="F6">
        <f t="shared" ca="1" si="0"/>
        <v>9</v>
      </c>
    </row>
    <row r="7" spans="1:9" x14ac:dyDescent="0.3">
      <c r="A7" s="1">
        <v>6</v>
      </c>
      <c r="B7" s="1" t="s">
        <v>95</v>
      </c>
      <c r="C7" s="1" t="s">
        <v>92</v>
      </c>
      <c r="D7" s="1">
        <v>68000</v>
      </c>
      <c r="E7" s="7">
        <v>42911</v>
      </c>
      <c r="F7">
        <f t="shared" ca="1" si="0"/>
        <v>9</v>
      </c>
    </row>
    <row r="8" spans="1:9" x14ac:dyDescent="0.3">
      <c r="A8" s="1">
        <v>7</v>
      </c>
      <c r="B8" s="1" t="s">
        <v>96</v>
      </c>
      <c r="C8" s="1" t="s">
        <v>90</v>
      </c>
      <c r="D8" s="1">
        <v>70000</v>
      </c>
      <c r="E8" s="7">
        <v>43567</v>
      </c>
      <c r="F8">
        <f t="shared" ca="1" si="0"/>
        <v>7</v>
      </c>
    </row>
    <row r="11" spans="1:9" x14ac:dyDescent="0.3">
      <c r="A11" s="28" t="str">
        <f>VLOOKUP(2,A2:C8,3,FALSE)</f>
        <v>Sales</v>
      </c>
      <c r="B11" s="29" t="s">
        <v>107</v>
      </c>
      <c r="C11" t="s">
        <v>109</v>
      </c>
      <c r="I11" t="s">
        <v>34</v>
      </c>
    </row>
    <row r="12" spans="1:9" x14ac:dyDescent="0.3">
      <c r="B12" s="30" t="s">
        <v>90</v>
      </c>
      <c r="C12" s="32">
        <v>198000</v>
      </c>
    </row>
    <row r="13" spans="1:9" x14ac:dyDescent="0.3">
      <c r="B13" s="30" t="s">
        <v>88</v>
      </c>
      <c r="C13" s="32">
        <v>113000</v>
      </c>
      <c r="I13" t="s">
        <v>77</v>
      </c>
    </row>
    <row r="14" spans="1:9" x14ac:dyDescent="0.3">
      <c r="B14" s="30" t="s">
        <v>92</v>
      </c>
      <c r="C14" s="32">
        <v>140000</v>
      </c>
      <c r="I14" t="s">
        <v>78</v>
      </c>
    </row>
    <row r="15" spans="1:9" x14ac:dyDescent="0.3">
      <c r="B15" s="30" t="s">
        <v>108</v>
      </c>
      <c r="C15" s="32">
        <v>451000</v>
      </c>
      <c r="I15" t="s">
        <v>79</v>
      </c>
    </row>
    <row r="16" spans="1:9" x14ac:dyDescent="0.3">
      <c r="I16" t="s">
        <v>80</v>
      </c>
    </row>
    <row r="17" spans="9:9" x14ac:dyDescent="0.3">
      <c r="I17" t="s">
        <v>81</v>
      </c>
    </row>
  </sheetData>
  <conditionalFormatting sqref="D2:D8">
    <cfRule type="cellIs" dxfId="0" priority="1" operator="greaterThan">
      <formula>60000</formula>
    </cfRule>
  </conditionalFormatting>
  <dataValidations count="1">
    <dataValidation type="list" allowBlank="1" showInputMessage="1" showErrorMessage="1" sqref="C2:C8" xr:uid="{E894F524-072B-4742-BE04-225975D3102B}">
      <formula1>"HR,Sales,Finance"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F9FF-FD80-4281-AFE9-6CCF2977C968}">
  <dimension ref="A1:I16"/>
  <sheetViews>
    <sheetView tabSelected="1" workbookViewId="0">
      <selection activeCell="N8" sqref="N8"/>
    </sheetView>
  </sheetViews>
  <sheetFormatPr defaultRowHeight="14.4" x14ac:dyDescent="0.3"/>
  <cols>
    <col min="1" max="1" width="9.44140625" bestFit="1" customWidth="1"/>
    <col min="2" max="2" width="9" bestFit="1" customWidth="1"/>
    <col min="3" max="3" width="9.44140625" bestFit="1" customWidth="1"/>
    <col min="4" max="4" width="9" bestFit="1" customWidth="1"/>
    <col min="6" max="6" width="26.5546875" customWidth="1"/>
    <col min="8" max="8" width="14.88671875" customWidth="1"/>
  </cols>
  <sheetData>
    <row r="1" spans="1:9" x14ac:dyDescent="0.3">
      <c r="A1" s="6" t="s">
        <v>63</v>
      </c>
      <c r="B1" s="6" t="s">
        <v>64</v>
      </c>
      <c r="C1" s="6" t="s">
        <v>65</v>
      </c>
      <c r="D1" s="6" t="s">
        <v>66</v>
      </c>
      <c r="E1" s="23" t="s">
        <v>101</v>
      </c>
      <c r="F1" s="24" t="s">
        <v>102</v>
      </c>
      <c r="H1" s="25" t="s">
        <v>19</v>
      </c>
      <c r="I1" s="25" t="s">
        <v>103</v>
      </c>
    </row>
    <row r="2" spans="1:9" x14ac:dyDescent="0.3">
      <c r="A2" s="1" t="s">
        <v>67</v>
      </c>
      <c r="B2" s="26">
        <v>550</v>
      </c>
      <c r="C2" s="26">
        <v>820</v>
      </c>
      <c r="D2" s="26">
        <f>C2-B2</f>
        <v>270</v>
      </c>
      <c r="E2">
        <f>SUM(C2,D2)</f>
        <v>1090</v>
      </c>
      <c r="F2" t="str">
        <f>IF(D2&gt;300,"PROFITABLE","NOT PROFITABLE")</f>
        <v>NOT PROFITABLE</v>
      </c>
      <c r="H2" t="s">
        <v>104</v>
      </c>
      <c r="I2">
        <v>4</v>
      </c>
    </row>
    <row r="3" spans="1:9" x14ac:dyDescent="0.3">
      <c r="A3" s="1" t="s">
        <v>68</v>
      </c>
      <c r="B3" s="26">
        <v>630</v>
      </c>
      <c r="C3" s="26">
        <v>950</v>
      </c>
      <c r="D3" s="26">
        <f t="shared" ref="D3:D11" si="0">C3-B3</f>
        <v>320</v>
      </c>
      <c r="E3">
        <f t="shared" ref="E3:E11" si="1">SUM(C3,D3)</f>
        <v>1270</v>
      </c>
      <c r="F3" t="str">
        <f t="shared" ref="F3:F11" si="2">IF(D3&gt;300,"PROFITABLE","NOT PROFITABLE")</f>
        <v>PROFITABLE</v>
      </c>
      <c r="H3" t="s">
        <v>105</v>
      </c>
      <c r="I3">
        <v>6</v>
      </c>
    </row>
    <row r="4" spans="1:9" x14ac:dyDescent="0.3">
      <c r="A4" s="1" t="s">
        <v>69</v>
      </c>
      <c r="B4" s="26">
        <v>720</v>
      </c>
      <c r="C4" s="26">
        <v>1050</v>
      </c>
      <c r="D4" s="26">
        <f t="shared" si="0"/>
        <v>330</v>
      </c>
      <c r="E4">
        <f t="shared" si="1"/>
        <v>1380</v>
      </c>
      <c r="F4" t="str">
        <f t="shared" si="2"/>
        <v>PROFITABLE</v>
      </c>
    </row>
    <row r="5" spans="1:9" x14ac:dyDescent="0.3">
      <c r="A5" s="1" t="s">
        <v>70</v>
      </c>
      <c r="B5" s="26">
        <v>680</v>
      </c>
      <c r="C5" s="26">
        <v>980</v>
      </c>
      <c r="D5" s="26">
        <f t="shared" si="0"/>
        <v>300</v>
      </c>
      <c r="E5">
        <f t="shared" si="1"/>
        <v>1280</v>
      </c>
      <c r="F5" t="str">
        <f t="shared" si="2"/>
        <v>NOT PROFITABLE</v>
      </c>
    </row>
    <row r="6" spans="1:9" x14ac:dyDescent="0.3">
      <c r="A6" s="1" t="s">
        <v>71</v>
      </c>
      <c r="B6" s="26">
        <v>590</v>
      </c>
      <c r="C6" s="26">
        <v>870</v>
      </c>
      <c r="D6" s="26">
        <f t="shared" si="0"/>
        <v>280</v>
      </c>
      <c r="E6">
        <f t="shared" si="1"/>
        <v>1150</v>
      </c>
      <c r="F6" t="str">
        <f t="shared" si="2"/>
        <v>NOT PROFITABLE</v>
      </c>
    </row>
    <row r="7" spans="1:9" x14ac:dyDescent="0.3">
      <c r="A7" s="1" t="s">
        <v>72</v>
      </c>
      <c r="B7" s="26">
        <v>660</v>
      </c>
      <c r="C7" s="26">
        <v>930</v>
      </c>
      <c r="D7" s="26">
        <f t="shared" si="0"/>
        <v>270</v>
      </c>
      <c r="E7">
        <f t="shared" si="1"/>
        <v>1200</v>
      </c>
      <c r="F7" t="str">
        <f t="shared" si="2"/>
        <v>NOT PROFITABLE</v>
      </c>
    </row>
    <row r="8" spans="1:9" x14ac:dyDescent="0.3">
      <c r="A8" s="1" t="s">
        <v>73</v>
      </c>
      <c r="B8" s="26">
        <v>710</v>
      </c>
      <c r="C8" s="26">
        <v>1020</v>
      </c>
      <c r="D8" s="26">
        <f t="shared" si="0"/>
        <v>310</v>
      </c>
      <c r="E8">
        <f t="shared" si="1"/>
        <v>1330</v>
      </c>
      <c r="F8" t="str">
        <f t="shared" si="2"/>
        <v>PROFITABLE</v>
      </c>
    </row>
    <row r="9" spans="1:9" x14ac:dyDescent="0.3">
      <c r="A9" s="1" t="s">
        <v>74</v>
      </c>
      <c r="B9" s="26">
        <v>590</v>
      </c>
      <c r="C9" s="26">
        <v>880</v>
      </c>
      <c r="D9" s="26">
        <f t="shared" si="0"/>
        <v>290</v>
      </c>
      <c r="E9">
        <f t="shared" si="1"/>
        <v>1170</v>
      </c>
      <c r="F9" t="str">
        <f t="shared" si="2"/>
        <v>NOT PROFITABLE</v>
      </c>
    </row>
    <row r="10" spans="1:9" x14ac:dyDescent="0.3">
      <c r="A10" s="1" t="s">
        <v>75</v>
      </c>
      <c r="B10" s="26">
        <v>640</v>
      </c>
      <c r="C10" s="26">
        <v>940</v>
      </c>
      <c r="D10" s="26">
        <f t="shared" si="0"/>
        <v>300</v>
      </c>
      <c r="E10">
        <f t="shared" si="1"/>
        <v>1240</v>
      </c>
      <c r="F10" t="str">
        <f t="shared" si="2"/>
        <v>NOT PROFITABLE</v>
      </c>
      <c r="H10" t="s">
        <v>34</v>
      </c>
    </row>
    <row r="11" spans="1:9" x14ac:dyDescent="0.3">
      <c r="A11" s="1" t="s">
        <v>76</v>
      </c>
      <c r="B11" s="26">
        <v>600</v>
      </c>
      <c r="C11" s="26">
        <v>910</v>
      </c>
      <c r="D11" s="26">
        <f t="shared" si="0"/>
        <v>310</v>
      </c>
      <c r="E11">
        <f t="shared" si="1"/>
        <v>1220</v>
      </c>
      <c r="F11" t="str">
        <f t="shared" si="2"/>
        <v>PROFITABLE</v>
      </c>
    </row>
    <row r="12" spans="1:9" x14ac:dyDescent="0.3">
      <c r="H12" t="s">
        <v>58</v>
      </c>
    </row>
    <row r="13" spans="1:9" x14ac:dyDescent="0.3">
      <c r="H13" t="s">
        <v>59</v>
      </c>
    </row>
    <row r="14" spans="1:9" x14ac:dyDescent="0.3">
      <c r="H14" t="s">
        <v>60</v>
      </c>
    </row>
    <row r="15" spans="1:9" x14ac:dyDescent="0.3">
      <c r="H15" t="s">
        <v>61</v>
      </c>
    </row>
    <row r="16" spans="1:9" x14ac:dyDescent="0.3">
      <c r="H16" t="s">
        <v>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Task-1</vt:lpstr>
      <vt:lpstr>Task-2</vt:lpstr>
      <vt:lpstr>Task-3</vt:lpstr>
      <vt:lpstr>SHEET6PIVOTTABLE</vt:lpstr>
      <vt:lpstr>Sheet1</vt:lpstr>
      <vt:lpstr>Task-5</vt:lpstr>
      <vt:lpstr>Task-4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Rajinder</dc:creator>
  <cp:lastModifiedBy>Apeksha Atkare</cp:lastModifiedBy>
  <dcterms:created xsi:type="dcterms:W3CDTF">2024-06-25T12:42:29Z</dcterms:created>
  <dcterms:modified xsi:type="dcterms:W3CDTF">2026-07-06T15:05:15Z</dcterms:modified>
</cp:coreProperties>
</file>